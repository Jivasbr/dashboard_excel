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sers\mgxp\Documents\Cursos\Klabin - Excel e Power BI Dashboards\"/>
    </mc:Choice>
  </mc:AlternateContent>
  <xr:revisionPtr revIDLastSave="0" documentId="8_{5E9E42FA-417A-49FE-ACC5-D4C982C71FA9}" xr6:coauthVersionLast="47" xr6:coauthVersionMax="47" xr10:uidLastSave="{00000000-0000-0000-0000-000000000000}"/>
  <bookViews>
    <workbookView xWindow="-24120" yWindow="-1275" windowWidth="24240" windowHeight="13020" tabRatio="46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20" i="3"/>
</calcChain>
</file>

<file path=xl/sharedStrings.xml><?xml version="1.0" encoding="utf-8"?>
<sst xmlns="http://schemas.openxmlformats.org/spreadsheetml/2006/main" count="2013" uniqueCount="323">
  <si>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</si>
  <si>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</si>
  <si>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</si>
  <si>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</si>
  <si>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</si>
  <si>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</si>
  <si>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</si>
  <si>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</si>
  <si>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</si>
  <si>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</si>
  <si>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</si>
  <si>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</si>
  <si>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</si>
  <si>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</si>
  <si>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</si>
  <si>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</si>
  <si>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</si>
  <si>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</si>
  <si>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</si>
  <si>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</si>
  <si>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</si>
  <si>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</si>
  <si>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</si>
  <si>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</si>
  <si>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</si>
  <si>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</si>
  <si>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</si>
  <si>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</si>
  <si>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</si>
  <si>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</si>
  <si>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</si>
  <si>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</si>
  <si>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</si>
  <si>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</si>
  <si>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</si>
  <si>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</si>
  <si>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</si>
  <si>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</si>
  <si>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</si>
  <si>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</si>
  <si>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</si>
  <si>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</si>
  <si>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</si>
  <si>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</si>
  <si>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</si>
  <si>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</si>
  <si>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</si>
  <si>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</si>
  <si>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</si>
  <si>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</si>
  <si>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</si>
  <si>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</si>
  <si>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</si>
  <si>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</si>
  <si>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</si>
  <si>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</si>
  <si>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</si>
  <si>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</si>
  <si>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</si>
  <si>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</si>
  <si>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</si>
  <si>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</si>
  <si>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</si>
  <si>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</si>
  <si>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</si>
  <si>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</si>
  <si>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</si>
  <si>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</si>
  <si>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</si>
  <si>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</si>
  <si>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</si>
  <si>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</si>
  <si>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</si>
  <si>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</si>
  <si>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</si>
  <si>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</si>
  <si>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</si>
  <si>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</si>
  <si>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</si>
  <si>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</si>
  <si>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</si>
  <si>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</si>
  <si>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</si>
  <si>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</si>
  <si>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</si>
  <si>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</si>
  <si>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</si>
  <si>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</si>
  <si>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</si>
  <si>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</si>
  <si>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</si>
  <si>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</si>
  <si>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</si>
  <si>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</si>
  <si>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</si>
  <si>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</si>
  <si>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</si>
  <si>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</si>
  <si>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</si>
  <si>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</si>
  <si>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</si>
  <si>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</si>
  <si>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</si>
  <si>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</si>
  <si>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</si>
  <si>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</si>
  <si>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</si>
  <si>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</si>
  <si>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</si>
  <si>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</si>
  <si>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</si>
  <si>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</si>
  <si>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</si>
  <si>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</si>
  <si>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</si>
  <si>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</si>
  <si>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</si>
  <si>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</si>
  <si>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</si>
  <si>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</si>
  <si>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</si>
  <si>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</si>
  <si>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</si>
  <si>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</si>
  <si>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</si>
  <si>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</si>
  <si>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</si>
  <si>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</si>
  <si>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</si>
  <si>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</si>
  <si>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</si>
  <si>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</si>
  <si>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</si>
  <si>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</si>
  <si>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</si>
  <si>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</si>
  <si>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</si>
  <si>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</si>
  <si>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</si>
  <si>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</si>
  <si>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</si>
  <si>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</si>
  <si>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</si>
  <si>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</si>
  <si>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</si>
  <si>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</si>
  <si>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</si>
  <si>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</si>
  <si>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</si>
  <si>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</si>
  <si>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</si>
  <si>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</si>
  <si>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</si>
  <si>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</si>
  <si>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</si>
  <si>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</si>
  <si>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</si>
  <si>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</si>
  <si>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</si>
  <si>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</si>
  <si>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</si>
  <si>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</si>
  <si>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</si>
  <si>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</si>
  <si>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</si>
  <si>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</si>
  <si>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</si>
  <si>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</si>
  <si>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</si>
  <si>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</si>
  <si>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</si>
  <si>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</si>
  <si>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</si>
  <si>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</si>
  <si>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</si>
  <si>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</si>
  <si>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</si>
  <si>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</si>
  <si>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</si>
  <si>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</si>
  <si>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</si>
  <si>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</si>
  <si>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</si>
  <si>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</si>
  <si>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</si>
  <si>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</si>
  <si>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</si>
  <si>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</si>
  <si>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</si>
  <si>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</si>
  <si>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</si>
  <si>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</si>
  <si>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</si>
  <si>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</si>
  <si>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</si>
  <si>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</si>
  <si>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</si>
  <si>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</si>
  <si>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</si>
  <si>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</si>
  <si>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</si>
  <si>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</si>
  <si>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</si>
  <si>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</si>
  <si>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</si>
  <si>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</si>
  <si>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</si>
  <si>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</si>
  <si>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</si>
  <si>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</si>
  <si>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</si>
  <si>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</si>
  <si>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</si>
  <si>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</si>
  <si>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</si>
  <si>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</si>
  <si>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</si>
  <si>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</si>
  <si>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</si>
  <si>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</si>
  <si>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</si>
  <si>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</si>
  <si>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</si>
  <si>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</si>
  <si>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</si>
  <si>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</si>
  <si>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</si>
  <si>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</si>
  <si>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</si>
  <si>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</si>
  <si>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</si>
  <si>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</si>
  <si>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</si>
  <si>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</si>
  <si>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</si>
  <si>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</si>
  <si>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</si>
  <si>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</si>
  <si>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</si>
  <si>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</si>
  <si>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</si>
  <si>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</si>
  <si>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</si>
  <si>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</si>
  <si>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</si>
  <si>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</si>
  <si>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</si>
  <si>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</si>
  <si>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</si>
  <si>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</si>
  <si>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</si>
  <si>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</si>
  <si>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</si>
  <si>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</si>
  <si>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</si>
  <si>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</si>
  <si>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</si>
  <si>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</si>
  <si>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</si>
  <si>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</si>
  <si>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</si>
  <si>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</si>
  <si>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</si>
  <si>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</si>
  <si>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</si>
  <si>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</si>
  <si>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</si>
  <si>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</si>
  <si>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</si>
  <si>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</si>
  <si>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</si>
  <si>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</si>
  <si>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</si>
  <si>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</si>
  <si>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</si>
  <si>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</si>
  <si>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</si>
  <si>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</si>
  <si>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</si>
  <si>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</si>
  <si>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</si>
  <si>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</si>
  <si>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</si>
  <si>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</si>
  <si>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</si>
  <si>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</si>
  <si>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</si>
  <si>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</si>
  <si>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</si>
  <si>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</si>
  <si>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</si>
  <si>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</si>
  <si>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</si>
  <si>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</si>
  <si>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</si>
  <si>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</si>
  <si>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</si>
  <si>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</si>
  <si>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</si>
  <si>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</si>
  <si>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</si>
  <si>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</si>
  <si>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</si>
  <si>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</si>
  <si>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</si>
  <si>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</si>
  <si>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</si>
  <si>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</si>
  <si>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</si>
  <si>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</si>
  <si>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</si>
  <si>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</si>
  <si>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</si>
  <si>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de Vendas de Planos Anuais (Contendo assinaturas agregadas)</t>
  </si>
  <si>
    <t>Total de Vendas de Planos Anuais (Separando Com e Sem Auto-renovação)</t>
  </si>
  <si>
    <t>Total Geral</t>
  </si>
  <si>
    <t>Soma de Total Value</t>
  </si>
  <si>
    <t>Rótulos de Linha</t>
  </si>
  <si>
    <t>XBOX GAME PASS SUBSCRIPTIONS SALES</t>
  </si>
  <si>
    <t>Total de Vendas de Assinaturas do EA Play</t>
  </si>
  <si>
    <t>Soma de EA Play Season Pass</t>
  </si>
  <si>
    <t>Perguntas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</si>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</sst>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0" xfId="0" applyNumberFormat="1"/>
    <xf numFmtId="164" fontId="0" fillId="0" borderId="0" xfId="2" applyFont="1"/>
    <xf numFmtId="0" fontId="5" fillId="0" borderId="2" xfId="0" applyFont="1" applyBorder="1" applyAlignment="1">
      <alignment horizontal="left" vertical="center" indent="1"/>
    </xf>
    <xf numFmtId="0" fontId="4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</dxf>
    <dxf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0" xr9:uid="{E3395733-9524-42AD-92BF-A307039D257E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2AE6B1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rgb="FF2AE6B1"/>
            </patternFill>
          </fill>
        </dxf>
        <dxf>
          <fill>
            <patternFill>
              <bgColor theme="2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 patternType="none">
              <bgColor auto="1"/>
            </patternFill>
          </fill>
        </dxf>
        <dxf>
          <fill>
            <patternFill patternType="none">
              <bgColor auto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[dash_xbox_finalizada.xlsx]C̳álculos!Tabela dinâmica1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>
            <a:glow>
              <a:schemeClr val="accent1"/>
            </a:glow>
            <a:softEdge rad="0"/>
          </a:effectLst>
        </c:spPr>
        <c:dLbl>
          <c:idx val="0"/>
          <c:layout>
            <c:manualLayout>
              <c:x val="1.0384230698266252E-2"/>
              <c:y val="-4.822077516225477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5653914830567866E-2"/>
          <c:y val="5.3831247324332684E-2"/>
          <c:w val="0.87667249778638201"/>
          <c:h val="0.89233750535133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>
                <a:glow>
                  <a:schemeClr val="accent1"/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1B14-46D4-AB80-453FFC096CC0}"/>
              </c:ext>
            </c:extLst>
          </c:dPt>
          <c:dLbls>
            <c:dLbl>
              <c:idx val="0"/>
              <c:layout>
                <c:manualLayout>
                  <c:x val="1.0384230698266252E-2"/>
                  <c:y val="-4.822077516225477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B14-46D4-AB80-453FFC096C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6D4-AB80-453FFC09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7954239"/>
        <c:axId val="1627951359"/>
      </c:barChart>
      <c:catAx>
        <c:axId val="162795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7951359"/>
        <c:crosses val="autoZero"/>
        <c:auto val="1"/>
        <c:lblAlgn val="ctr"/>
        <c:lblOffset val="100"/>
        <c:noMultiLvlLbl val="0"/>
      </c:catAx>
      <c:valAx>
        <c:axId val="1627951359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6279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136919</xdr:colOff>
      <xdr:row>4</xdr:row>
      <xdr:rowOff>123825</xdr:rowOff>
    </xdr:from>
    <xdr:to>
      <xdr:col>13</xdr:col>
      <xdr:colOff>266700</xdr:colOff>
      <xdr:row>6</xdr:row>
      <xdr:rowOff>133350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9ECFFF83-3215-FA6E-1874-925257DB28E6}"/>
            </a:ext>
          </a:extLst>
        </xdr:cNvPr>
        <xdr:cNvSpPr/>
      </xdr:nvSpPr>
      <xdr:spPr>
        <a:xfrm>
          <a:off x="2384819" y="1076325"/>
          <a:ext cx="6663931" cy="266700"/>
        </a:xfrm>
        <a:prstGeom prst="roundRect">
          <a:avLst>
            <a:gd name="adj" fmla="val 33579"/>
          </a:avLst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cap="all" baseline="0"/>
            <a:t>Calculation Period: </a:t>
          </a:r>
          <a:r>
            <a:rPr lang="pt-BR" sz="1400" b="1" cap="all" baseline="0">
              <a:solidFill>
                <a:srgbClr val="22C55E"/>
              </a:solidFill>
            </a:rPr>
            <a:t>01/01/2024 - 31/12/2024 </a:t>
          </a:r>
          <a:r>
            <a:rPr lang="pt-BR" sz="1400" b="1" cap="all" baseline="0"/>
            <a:t>| Update Date: </a:t>
          </a:r>
          <a:r>
            <a:rPr lang="pt-BR" sz="1400" b="1" cap="all" baseline="0">
              <a:solidFill>
                <a:srgbClr val="22C55E"/>
              </a:solidFill>
            </a:rPr>
            <a:t>05/12/2025 - 18:15:00 </a:t>
          </a:r>
        </a:p>
      </xdr:txBody>
    </xdr:sp>
    <xdr:clientData/>
  </xdr:twoCellAnchor>
  <xdr:twoCellAnchor editAs="oneCell">
    <xdr:from>
      <xdr:col>0</xdr:col>
      <xdr:colOff>654842</xdr:colOff>
      <xdr:row>1</xdr:row>
      <xdr:rowOff>59531</xdr:rowOff>
    </xdr:from>
    <xdr:to>
      <xdr:col>0</xdr:col>
      <xdr:colOff>1369217</xdr:colOff>
      <xdr:row>4</xdr:row>
      <xdr:rowOff>73139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B412B4-8472-741D-3D37-0AFF675CA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777" b="-2026"/>
        <a:stretch>
          <a:fillRect/>
        </a:stretch>
      </xdr:blipFill>
      <xdr:spPr>
        <a:xfrm>
          <a:off x="654842" y="345281"/>
          <a:ext cx="714375" cy="680358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6</xdr:row>
      <xdr:rowOff>238125</xdr:rowOff>
    </xdr:from>
    <xdr:to>
      <xdr:col>0</xdr:col>
      <xdr:colOff>1912144</xdr:colOff>
      <xdr:row>20</xdr:row>
      <xdr:rowOff>11906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 de Assinatura">
              <a:extLst>
                <a:ext uri="{FF2B5EF4-FFF2-40B4-BE49-F238E27FC236}">
                  <a16:creationId xmlns:a16="http://schemas.microsoft.com/office/drawing/2014/main" id="{BB41D116-1A76-4EFB-A5A2-A5A3EEB4B6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4" y="1447800"/>
              <a:ext cx="1828800" cy="26693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123824</xdr:colOff>
      <xdr:row>6</xdr:row>
      <xdr:rowOff>319088</xdr:rowOff>
    </xdr:from>
    <xdr:to>
      <xdr:col>8</xdr:col>
      <xdr:colOff>523875</xdr:colOff>
      <xdr:row>13</xdr:row>
      <xdr:rowOff>80963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0B0A949-E731-A218-9C1E-6C05B8FE3EAB}"/>
            </a:ext>
          </a:extLst>
        </xdr:cNvPr>
        <xdr:cNvGrpSpPr/>
      </xdr:nvGrpSpPr>
      <xdr:grpSpPr>
        <a:xfrm>
          <a:off x="2371724" y="1528763"/>
          <a:ext cx="4057651" cy="1323975"/>
          <a:chOff x="2381249" y="1009650"/>
          <a:chExt cx="4752976" cy="13239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CCEE4EF-F433-95AF-C749-C94D8F1A1592}"/>
              </a:ext>
            </a:extLst>
          </xdr:cNvPr>
          <xdr:cNvSpPr/>
        </xdr:nvSpPr>
        <xdr:spPr>
          <a:xfrm>
            <a:off x="2381249" y="1076325"/>
            <a:ext cx="4743451" cy="942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560DC7AD-85B4-5BAF-C314-4D92306AAC91}"/>
              </a:ext>
            </a:extLst>
          </xdr:cNvPr>
          <xdr:cNvSpPr/>
        </xdr:nvSpPr>
        <xdr:spPr>
          <a:xfrm>
            <a:off x="4400550" y="1352550"/>
            <a:ext cx="2428876" cy="70484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29ECA72-DFEB-4142-85F1-ECF0B66354AF}" type="TxLink">
              <a:rPr lang="en-US" sz="24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2400" b="1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10B8E3A-3242-4849-86AB-92B419884C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0825" y="1114425"/>
            <a:ext cx="1364423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2C50E092-3962-3147-9DDE-508A2BE74EAA}"/>
              </a:ext>
            </a:extLst>
          </xdr:cNvPr>
          <xdr:cNvSpPr/>
        </xdr:nvSpPr>
        <xdr:spPr>
          <a:xfrm>
            <a:off x="2390775" y="1009650"/>
            <a:ext cx="4743450" cy="381000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2</xdr:col>
      <xdr:colOff>123825</xdr:colOff>
      <xdr:row>12</xdr:row>
      <xdr:rowOff>121443</xdr:rowOff>
    </xdr:from>
    <xdr:to>
      <xdr:col>19</xdr:col>
      <xdr:colOff>485775</xdr:colOff>
      <xdr:row>28</xdr:row>
      <xdr:rowOff>161925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F4FA748-5506-F5AF-AACC-87C7BEE9347A}"/>
            </a:ext>
          </a:extLst>
        </xdr:cNvPr>
        <xdr:cNvGrpSpPr/>
      </xdr:nvGrpSpPr>
      <xdr:grpSpPr>
        <a:xfrm>
          <a:off x="2371725" y="2702718"/>
          <a:ext cx="10553700" cy="3088482"/>
          <a:chOff x="2381250" y="2178843"/>
          <a:chExt cx="4743450" cy="3088482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06B86A1-2BE5-2A93-7170-9941CD420419}"/>
              </a:ext>
            </a:extLst>
          </xdr:cNvPr>
          <xdr:cNvSpPr/>
        </xdr:nvSpPr>
        <xdr:spPr>
          <a:xfrm>
            <a:off x="2381251" y="2178843"/>
            <a:ext cx="4733924" cy="3088482"/>
          </a:xfrm>
          <a:prstGeom prst="roundRect">
            <a:avLst>
              <a:gd name="adj" fmla="val 4918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16000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12BB2EC-99E8-4FCB-BF7E-89069A6CF3D3}"/>
              </a:ext>
            </a:extLst>
          </xdr:cNvPr>
          <xdr:cNvGraphicFramePr>
            <a:graphicFrameLocks/>
          </xdr:cNvGraphicFramePr>
        </xdr:nvGraphicFramePr>
        <xdr:xfrm>
          <a:off x="2536083" y="2672177"/>
          <a:ext cx="4538244" cy="25951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F83878C4-66CF-4060-9683-B59379BF7B20}"/>
              </a:ext>
            </a:extLst>
          </xdr:cNvPr>
          <xdr:cNvSpPr/>
        </xdr:nvSpPr>
        <xdr:spPr>
          <a:xfrm>
            <a:off x="2381250" y="2181225"/>
            <a:ext cx="4743450" cy="381000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123824</xdr:colOff>
      <xdr:row>6</xdr:row>
      <xdr:rowOff>319088</xdr:rowOff>
    </xdr:from>
    <xdr:to>
      <xdr:col>16</xdr:col>
      <xdr:colOff>85725</xdr:colOff>
      <xdr:row>11</xdr:row>
      <xdr:rowOff>185737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F82828C-277C-564D-C681-407A90A9E35D}"/>
            </a:ext>
          </a:extLst>
        </xdr:cNvPr>
        <xdr:cNvGrpSpPr/>
      </xdr:nvGrpSpPr>
      <xdr:grpSpPr>
        <a:xfrm>
          <a:off x="6638924" y="1528763"/>
          <a:ext cx="4057651" cy="1047749"/>
          <a:chOff x="7238999" y="1000125"/>
          <a:chExt cx="4752976" cy="1047749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C2A6EA0-9A12-4106-4593-83742C3C5F5E}"/>
              </a:ext>
            </a:extLst>
          </xdr:cNvPr>
          <xdr:cNvSpPr/>
        </xdr:nvSpPr>
        <xdr:spPr>
          <a:xfrm>
            <a:off x="7238999" y="1066800"/>
            <a:ext cx="4743451" cy="942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9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A30A413B-447D-8B0F-F507-5D98E45DF873}"/>
              </a:ext>
            </a:extLst>
          </xdr:cNvPr>
          <xdr:cNvSpPr/>
        </xdr:nvSpPr>
        <xdr:spPr>
          <a:xfrm>
            <a:off x="9258300" y="1343025"/>
            <a:ext cx="2428876" cy="70484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5119045-758A-4278-93A6-17954F7BA600}" type="TxLink">
              <a:rPr lang="en-US" sz="2400" b="1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pt-BR" sz="4800" b="1">
              <a:solidFill>
                <a:srgbClr val="22C55E"/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274EF885-D37F-8D23-D543-9B593807554C}"/>
              </a:ext>
            </a:extLst>
          </xdr:cNvPr>
          <xdr:cNvSpPr/>
        </xdr:nvSpPr>
        <xdr:spPr>
          <a:xfrm>
            <a:off x="7248525" y="1000125"/>
            <a:ext cx="4743450" cy="381000"/>
          </a:xfrm>
          <a:prstGeom prst="round2SameRect">
            <a:avLst>
              <a:gd name="adj1" fmla="val 3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MINECRAFT</a:t>
            </a:r>
            <a:r>
              <a:rPr lang="pt-BR" sz="1400" b="1" baseline="0"/>
              <a:t> </a:t>
            </a:r>
            <a:r>
              <a:rPr lang="pt-BR" sz="1400" b="1"/>
              <a:t>SEASON PASS</a:t>
            </a: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4C367EAD-BBF2-4879-82F9-CD7E9F860A41}"/>
              </a:ext>
            </a:extLst>
          </xdr:cNvPr>
          <xdr:cNvGrpSpPr/>
        </xdr:nvGrpSpPr>
        <xdr:grpSpPr>
          <a:xfrm>
            <a:off x="7605581" y="1447819"/>
            <a:ext cx="1307003" cy="476252"/>
            <a:chOff x="3445787" y="5443268"/>
            <a:chExt cx="1948173" cy="709881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BCACC345-A328-8B3E-9CCA-8FF302B95D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46883" y="5443268"/>
              <a:ext cx="798263" cy="609598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1E23AECF-E897-5178-4606-544CEC401D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45787" y="5829753"/>
              <a:ext cx="1948173" cy="323396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vago Januario" refreshedDate="45995.705955092591" createdVersion="8" refreshedVersion="8" minRefreshableVersion="3" recordCount="295" xr:uid="{0A958BA7-9C23-4BE6-A492-49F127238BA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841242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EE1AF-FABD-4CB4-B8FC-98DEC4121106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5:C29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4D717-CD7C-408C-B23A-B15BCEA9C1D5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6:C18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Row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99980-83EA-4D90-80FF-BF6FAC2459B0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8:C11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D1ED347-B35A-48E0-9668-714A2293FA8B}" sourceName="Subscription Type">
  <pivotTables>
    <pivotTable tabId="3" name="Tabela dinâmica1"/>
    <pivotTable tabId="3" name="Tabela dinâmica2"/>
    <pivotTable tabId="3" name="Tabela dinâmica3"/>
  </pivotTables>
  <data>
    <tabular pivotCacheId="88412426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A11686BE-A9FC-4403-9383-9B0F40D894A3}" cache="SegmentaçãodeDados_Subscription_Type" caption="Tipo de Assinatura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C25" sqref="C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25" sqref="C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29"/>
  <sheetViews>
    <sheetView showGridLines="0" topLeftCell="A4" workbookViewId="0">
      <selection activeCell="C25" sqref="C25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321</v>
      </c>
    </row>
    <row r="4" spans="2:3" x14ac:dyDescent="0.25">
      <c r="B4">
        <v>1</v>
      </c>
      <c r="C4" t="s">
        <v>313</v>
      </c>
    </row>
    <row r="5" spans="2:3" x14ac:dyDescent="0.25">
      <c r="B5">
        <v>2</v>
      </c>
      <c r="C5" t="s">
        <v>314</v>
      </c>
    </row>
    <row r="8" spans="2:3" x14ac:dyDescent="0.25">
      <c r="B8" s="12" t="s">
        <v>317</v>
      </c>
      <c r="C8" t="s">
        <v>316</v>
      </c>
    </row>
    <row r="9" spans="2:3" x14ac:dyDescent="0.25">
      <c r="B9" s="14" t="s">
        <v>23</v>
      </c>
      <c r="C9" s="13">
        <v>217</v>
      </c>
    </row>
    <row r="10" spans="2:3" x14ac:dyDescent="0.25">
      <c r="B10" s="14" t="s">
        <v>19</v>
      </c>
      <c r="C10" s="13">
        <v>1537</v>
      </c>
    </row>
    <row r="11" spans="2:3" x14ac:dyDescent="0.25">
      <c r="B11" s="14" t="s">
        <v>315</v>
      </c>
      <c r="C11" s="13">
        <v>1754</v>
      </c>
    </row>
    <row r="13" spans="2:3" x14ac:dyDescent="0.25">
      <c r="B13">
        <v>3</v>
      </c>
      <c r="C13" t="s">
        <v>319</v>
      </c>
    </row>
    <row r="16" spans="2:3" x14ac:dyDescent="0.25">
      <c r="B16" s="12" t="s">
        <v>317</v>
      </c>
      <c r="C16" t="s">
        <v>320</v>
      </c>
    </row>
    <row r="17" spans="2:4" x14ac:dyDescent="0.25">
      <c r="B17" s="14" t="s">
        <v>24</v>
      </c>
      <c r="C17" s="17">
        <v>600</v>
      </c>
    </row>
    <row r="18" spans="2:4" x14ac:dyDescent="0.25">
      <c r="B18" s="14" t="s">
        <v>315</v>
      </c>
      <c r="C18" s="17">
        <v>600</v>
      </c>
    </row>
    <row r="20" spans="2:4" x14ac:dyDescent="0.25">
      <c r="D20" s="18">
        <f>GETPIVOTDATA("EA Play Season Pass
Price",$B$16)</f>
        <v>600</v>
      </c>
    </row>
    <row r="25" spans="2:4" x14ac:dyDescent="0.25">
      <c r="B25" s="12" t="s">
        <v>317</v>
      </c>
      <c r="C25" t="s">
        <v>322</v>
      </c>
    </row>
    <row r="26" spans="2:4" x14ac:dyDescent="0.25">
      <c r="B26" s="14" t="s">
        <v>22</v>
      </c>
      <c r="C26" s="13">
        <v>0</v>
      </c>
    </row>
    <row r="27" spans="2:4" x14ac:dyDescent="0.25">
      <c r="B27" s="14" t="s">
        <v>26</v>
      </c>
      <c r="C27" s="13">
        <v>540</v>
      </c>
    </row>
    <row r="28" spans="2:4" x14ac:dyDescent="0.25">
      <c r="B28" s="14" t="s">
        <v>18</v>
      </c>
      <c r="C28" s="13">
        <v>400</v>
      </c>
    </row>
    <row r="29" spans="2:4" x14ac:dyDescent="0.25">
      <c r="B29" s="14" t="s">
        <v>315</v>
      </c>
      <c r="C29" s="13">
        <v>940</v>
      </c>
      <c r="D29" s="18">
        <f>GETPIVOTDATA("Minecraft Season Pass Price",$B$25)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49"/>
  <sheetViews>
    <sheetView showGridLines="0" showRowColHeaders="0" tabSelected="1" zoomScaleNormal="100" workbookViewId="0">
      <selection activeCell="H34" sqref="H34"/>
    </sheetView>
  </sheetViews>
  <sheetFormatPr defaultRowHeight="15" x14ac:dyDescent="0.25"/>
  <cols>
    <col min="1" max="1" width="30.140625" style="4" customWidth="1"/>
    <col min="2" max="2" width="3.5703125" customWidth="1"/>
    <col min="12" max="12" width="6.5703125" customWidth="1"/>
  </cols>
  <sheetData>
    <row r="1" spans="2:25" ht="22.5" customHeight="1" x14ac:dyDescent="0.25"/>
    <row r="2" spans="2:25" ht="22.5" customHeight="1" thickBot="1" x14ac:dyDescent="0.3">
      <c r="C2" s="19" t="s">
        <v>318</v>
      </c>
      <c r="D2" s="15"/>
      <c r="E2" s="15"/>
      <c r="F2" s="15"/>
      <c r="G2" s="16"/>
      <c r="H2" s="16"/>
      <c r="I2" s="16"/>
      <c r="J2" s="16"/>
      <c r="K2" s="16"/>
    </row>
    <row r="3" spans="2:25" ht="22.5" customHeight="1" thickTop="1" x14ac:dyDescent="0.25"/>
    <row r="4" spans="2:25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2:25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2:25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2:25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2:25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2:2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2:2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2:2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2:2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2:2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2:2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2:2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2:2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2:2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2:2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2:2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2:2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2:2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2:2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2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2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2:2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2:2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2:2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2:2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2:2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2:2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2:2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2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2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2:25" x14ac:dyDescent="0.25">
      <c r="B34" s="7"/>
      <c r="C34" s="7"/>
      <c r="D34" s="2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2:2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2:2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2:2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2:2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2:25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2:25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2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25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25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25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2:25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2:25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2:25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2:2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05EDE9C9-8015-41B1-8039-EE13BBF11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Jivago Januario</cp:lastModifiedBy>
  <dcterms:created xsi:type="dcterms:W3CDTF">2024-12-19T13:13:10Z</dcterms:created>
  <dcterms:modified xsi:type="dcterms:W3CDTF">2025-12-04T21:22:46Z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